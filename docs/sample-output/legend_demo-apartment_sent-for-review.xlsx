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אומדן"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0"/>
    </font>
    <font>
      <name val="Arial"/>
      <sz val="10"/>
    </font>
  </fonts>
  <fills count="7">
    <fill>
      <patternFill/>
    </fill>
    <fill>
      <patternFill patternType="gray125"/>
    </fill>
    <fill>
      <patternFill patternType="solid">
        <fgColor rgb="00E9ECEF"/>
        <bgColor rgb="00E9ECEF"/>
      </patternFill>
    </fill>
    <fill>
      <patternFill patternType="solid">
        <fgColor rgb="00D9C4E8"/>
        <bgColor rgb="00D9C4E8"/>
      </patternFill>
    </fill>
    <fill>
      <patternFill patternType="solid">
        <fgColor rgb="00C4D9E8"/>
        <bgColor rgb="00C4D9E8"/>
      </patternFill>
    </fill>
    <fill>
      <patternFill patternType="solid">
        <fgColor rgb="00C9E8C4"/>
        <bgColor rgb="00C9E8C4"/>
      </patternFill>
    </fill>
    <fill>
      <patternFill patternType="solid">
        <fgColor rgb="00FFC000"/>
        <bgColor rgb="00FFC000"/>
      </patternFill>
    </fill>
  </fills>
  <borders count="6">
    <border>
      <left/>
      <right/>
      <top/>
      <bottom/>
      <diagonal/>
    </border>
    <border>
      <left style="thin">
        <color rgb="009AA3AB"/>
      </left>
      <right style="thin">
        <color rgb="009AA3AB"/>
      </right>
      <top style="thin">
        <color rgb="009AA3AB"/>
      </top>
      <bottom style="thin">
        <color rgb="009AA3AB"/>
      </bottom>
    </border>
    <border>
      <left/>
      <right/>
      <top style="thin">
        <color rgb="009AA3AB"/>
      </top>
      <bottom/>
      <diagonal/>
    </border>
    <border>
      <left/>
      <right style="thin">
        <color rgb="009AA3AB"/>
      </right>
      <top style="thin">
        <color rgb="009AA3AB"/>
      </top>
      <bottom/>
      <diagonal/>
    </border>
    <border>
      <left/>
      <right/>
      <top style="thin">
        <color rgb="009AA3AB"/>
      </top>
      <bottom style="thin">
        <color rgb="009AA3AB"/>
      </bottom>
      <diagonal/>
    </border>
    <border>
      <left/>
      <right style="thin">
        <color rgb="009AA3AB"/>
      </right>
      <top style="thin">
        <color rgb="009AA3AB"/>
      </top>
      <bottom style="thin">
        <color rgb="009AA3AB"/>
      </bottom>
      <diagonal/>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applyAlignment="1" pivotButton="0" quotePrefix="0" xfId="0">
      <alignment horizontal="right" vertical="center" readingOrder="2"/>
    </xf>
    <xf numFmtId="0" fontId="2" fillId="2" borderId="1" applyAlignment="1" pivotButton="0" quotePrefix="0" xfId="0">
      <alignment horizontal="center" vertical="center" wrapText="1" readingOrder="2"/>
    </xf>
    <xf numFmtId="0" fontId="2" fillId="3" borderId="1" applyAlignment="1" pivotButton="0" quotePrefix="0" xfId="0">
      <alignment horizontal="right" vertical="center" readingOrder="2"/>
    </xf>
    <xf numFmtId="0" fontId="0" fillId="3" borderId="1" pivotButton="0" quotePrefix="0" xfId="0"/>
    <xf numFmtId="0" fontId="3" fillId="0" borderId="1" applyAlignment="1" pivotButton="0" quotePrefix="0" xfId="0">
      <alignment horizontal="right" vertical="top" wrapText="1" readingOrder="2"/>
    </xf>
    <xf numFmtId="0" fontId="2" fillId="4" borderId="1" applyAlignment="1" pivotButton="0" quotePrefix="0" xfId="0">
      <alignment horizontal="right" vertical="center" readingOrder="2"/>
    </xf>
    <xf numFmtId="0" fontId="0" fillId="4" borderId="1" pivotButton="0" quotePrefix="0" xfId="0"/>
    <xf numFmtId="0" fontId="2" fillId="5" borderId="1" applyAlignment="1" pivotButton="0" quotePrefix="0" xfId="0">
      <alignment horizontal="right" vertical="center" readingOrder="2"/>
    </xf>
    <xf numFmtId="0" fontId="0" fillId="5" borderId="1" pivotButton="0" quotePrefix="0" xfId="0"/>
    <xf numFmtId="0" fontId="2" fillId="0" borderId="0" pivotButton="0" quotePrefix="0" xfId="0"/>
    <xf numFmtId="0" fontId="0" fillId="0" borderId="4" pivotButton="0" quotePrefix="0" xfId="0"/>
    <xf numFmtId="0" fontId="0" fillId="0" borderId="5" pivotButton="0" quotePrefix="0" xfId="0"/>
    <xf numFmtId="0" fontId="3" fillId="6" borderId="1" applyAlignment="1" pivotButton="0" quotePrefix="0" xfId="0">
      <alignment horizontal="right" vertical="top"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mikra skill</author>
  </authors>
  <commentList>
    <comment ref="A2" authorId="0" shapeId="0">
      <text>
        <t>לעובד/ת: נא לעבור על כל השורות המסומנות בכתום בקובץ, לוודא את הנתונים ולתקן במידת הצורך, ולהסיר את הצביעה הכתומה מתא שנבדק. לאחר שהאקסל מתוקן ומאושר מבחינתכם, נא לשלוח אותו חזרה. (גוף חדש עם תא שעדיין כתום לא ייכנס לבנק — כדי שערך שלא נבדק לא יתפזר לפרויקטים הבאים.)</t>
      </text>
    </comment>
    <comment ref="A12" authorId="0" shapeId="0">
      <text>
        <t>⚠ בדיקת בנק: יתכן שגוף זה כבר קיים בבנק בניסוח דומה ("מנורת קיר מדגם Lune W LED 8W 720LM 2700K CRI90 דרייברים למיקום באזור פריק ונגיש") — כדאי לבדוק ולמזג אם כן, כדי למנוע כפילות.</t>
      </text>
    </comment>
    <comment ref="C12" authorId="0" shapeId="0">
      <text>
        <t>לבדיקה: "2700K" — לא נמצא בבירור בPDF, נא לאמת ידנית.</t>
      </text>
    </comment>
    <comment ref="F12" authorId="0" shapeId="0">
      <text>
        <t>חסר: לא התקבל ערך לשדה הזה. נא להשלים ידנית — לא מנחשים.</t>
      </text>
    </comment>
    <comment ref="A16" authorId="0" shapeId="0">
      <text>
        <t>🆕 גוף חדש — לא נמצא בבנק גופי התאורה. יתווסף לבנק אוטומטית כשהקובץ המתוקן יוחזר. אם הגוף הזה לא באמת שייך לבנק (חד-פעמי לפרויקט הזה), מחקו הערה זו לפני ההחזרה.</t>
      </text>
    </comment>
    <comment ref="F16" authorId="0" shapeId="0">
      <text>
        <t>חסר: לא התקבל ערך לשדה הזה. נא להשלים ידנית — לא מנחשים.</t>
      </text>
    </comment>
  </commentList>
</comment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s>
</file>

<file path=xl/drawings/drawing1.xml><?xml version="1.0" encoding="utf-8"?>
<wsDr xmlns="http://schemas.openxmlformats.org/drawingml/2006/spreadsheetDrawing">
  <oneCellAnchor>
    <from>
      <col>6</col>
      <colOff>0</colOff>
      <row>9</row>
      <rowOff>0</rowOff>
    </from>
    <ext cx="1268138" cy="848677"/>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6</col>
      <colOff>0</colOff>
      <row>10</row>
      <rowOff>0</rowOff>
    </from>
    <ext cx="1363027" cy="639574"/>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6</col>
      <colOff>0</colOff>
      <row>14</row>
      <rowOff>0</rowOff>
    </from>
    <ext cx="524637" cy="848677"/>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6</col>
      <colOff>0</colOff>
      <row>17</row>
      <rowOff>0</rowOff>
    </from>
    <ext cx="1363027" cy="817816"/>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6</col>
      <colOff>0</colOff>
      <row>11</row>
      <rowOff>0</rowOff>
    </from>
    <ext cx="1363027" cy="1632104"/>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6</col>
      <colOff>0</colOff>
      <row>12</row>
      <rowOff>0</rowOff>
    </from>
    <ext cx="1363027" cy="1029419"/>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6</col>
      <colOff>0</colOff>
      <row>15</row>
      <rowOff>0</rowOff>
    </from>
    <ext cx="1363027" cy="1121558"/>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M20"/>
  <sheetViews>
    <sheetView rightToLeft="1" workbookViewId="0">
      <pane ySplit="8" topLeftCell="A9" activePane="bottomLeft" state="frozen"/>
      <selection pane="bottomLeft" activeCell="A1" sqref="A1"/>
    </sheetView>
  </sheetViews>
  <sheetFormatPr baseColWidth="8" defaultRowHeight="15"/>
  <cols>
    <col width="6" customWidth="1" min="1" max="1"/>
    <col width="14" customWidth="1" min="2" max="2"/>
    <col width="42" customWidth="1" min="3" max="3"/>
    <col width="16" customWidth="1" min="4" max="4"/>
    <col width="16" customWidth="1" min="5" max="5"/>
    <col width="14" customWidth="1" min="6" max="6"/>
    <col width="22" customWidth="1" min="7" max="7"/>
    <col width="8" customWidth="1" min="8" max="8"/>
    <col width="9" customWidth="1" min="9" max="9"/>
    <col width="11" customWidth="1" min="10" max="10"/>
    <col width="11" customWidth="1" min="11" max="11"/>
    <col width="11" customWidth="1" min="12" max="12"/>
    <col width="12" customWidth="1" min="13" max="13"/>
  </cols>
  <sheetData>
    <row r="1">
      <c r="A1" s="1" t="inlineStr">
        <is>
          <t>מקרא גופי תאורה</t>
        </is>
      </c>
    </row>
    <row r="2">
      <c r="A2" t="n"/>
      <c r="C2" s="2" t="inlineStr">
        <is>
          <t>שם הפרויקט: דירת דמו</t>
        </is>
      </c>
    </row>
    <row r="3">
      <c r="C3" s="2" t="inlineStr">
        <is>
          <t>תאריך: 20.10.26</t>
        </is>
      </c>
    </row>
    <row r="4"/>
    <row r="5">
      <c r="C5" s="2" t="inlineStr">
        <is>
          <t>גוון תאורה בפרוייקט: 3000K</t>
        </is>
      </c>
    </row>
    <row r="6"/>
    <row r="7"/>
    <row r="8" ht="30" customHeight="1">
      <c r="A8" s="3" t="inlineStr">
        <is>
          <t>סעיף</t>
        </is>
      </c>
      <c r="B8" s="3" t="inlineStr">
        <is>
          <t>סימון</t>
        </is>
      </c>
      <c r="C8" s="3" t="inlineStr">
        <is>
          <t>תיאור</t>
        </is>
      </c>
      <c r="D8" s="3" t="inlineStr">
        <is>
          <t>יצרן</t>
        </is>
      </c>
      <c r="E8" s="3" t="inlineStr">
        <is>
          <t>מתח/
פרוטוקול עמעום</t>
        </is>
      </c>
      <c r="F8" s="3" t="inlineStr">
        <is>
          <t>גוון</t>
        </is>
      </c>
      <c r="G8" s="3" t="inlineStr">
        <is>
          <t>תמונה</t>
        </is>
      </c>
      <c r="H8" s="3" t="inlineStr">
        <is>
          <t>כמות</t>
        </is>
      </c>
      <c r="I8" s="3" t="inlineStr">
        <is>
          <t>סה"כ יחידות</t>
        </is>
      </c>
      <c r="J8" s="3" t="inlineStr">
        <is>
          <t>אורך פרופיל (מטרים)</t>
        </is>
      </c>
      <c r="K8" s="3" t="inlineStr">
        <is>
          <t>מחיר למטר/ יחידה</t>
        </is>
      </c>
      <c r="L8" s="3" t="inlineStr">
        <is>
          <t>מחיר פרופילים</t>
        </is>
      </c>
      <c r="M8" s="3" t="inlineStr">
        <is>
          <t>סה"כ</t>
        </is>
      </c>
    </row>
    <row r="9" ht="20" customHeight="1">
      <c r="A9" s="4" t="inlineStr">
        <is>
          <t>מנורות הזנה מהתקרה</t>
        </is>
      </c>
      <c r="B9" s="12" t="n"/>
      <c r="C9" s="12" t="n"/>
      <c r="D9" s="12" t="n"/>
      <c r="E9" s="13" t="n"/>
      <c r="F9" s="5" t="n"/>
      <c r="G9" s="5" t="n"/>
      <c r="H9" s="5" t="n"/>
      <c r="I9" s="5" t="n"/>
      <c r="J9" s="5" t="n"/>
      <c r="K9" s="5" t="n"/>
      <c r="L9" s="5" t="n"/>
      <c r="M9" s="5" t="n"/>
    </row>
    <row r="10" ht="74.25" customHeight="1">
      <c r="A10" s="6" t="n">
        <v>1</v>
      </c>
      <c r="B10" s="6" t="n"/>
      <c r="C10" s="6" t="inlineStr">
        <is>
          <t>ספוט שקוע מדגם Kito 24°
LED 10W 980LM 2700K CRI95 IP20
דרייברים למיקום באזור פריק ונגיש</t>
        </is>
      </c>
      <c r="D10" s="6" t="inlineStr">
        <is>
          <t>VELTRANO</t>
        </is>
      </c>
      <c r="E10" s="6" t="inlineStr">
        <is>
          <t>350mA
DIM DALI</t>
        </is>
      </c>
      <c r="F10" s="6" t="inlineStr">
        <is>
          <t>לבן</t>
        </is>
      </c>
      <c r="G10" s="6" t="n"/>
      <c r="H10" s="6" t="n"/>
      <c r="I10" s="6" t="n"/>
      <c r="J10" s="6" t="n"/>
      <c r="K10" s="6" t="n"/>
      <c r="L10" s="6" t="n"/>
      <c r="M10" s="6" t="n"/>
    </row>
    <row r="11" ht="123.75" customHeight="1">
      <c r="A11" s="6" t="n">
        <v>2</v>
      </c>
      <c r="B11" s="6" t="n"/>
      <c r="C11" s="6" t="inlineStr">
        <is>
          <t>פרופיל לד שקוע ללא שוליים מדגם Strada 20
LED 18W\M 1850LM\M 3000K CRI90 IP20
אורך עפ"י תוכנית
דרייברים למיקום באזור פריק ונגיש
כולל תותב גבס מקורי של היצרן</t>
        </is>
      </c>
      <c r="D11" s="6" t="inlineStr">
        <is>
          <t>PRAVENA</t>
        </is>
      </c>
      <c r="E11" s="6" t="inlineStr">
        <is>
          <t>24V
DIM DALI</t>
        </is>
      </c>
      <c r="F11" s="6" t="inlineStr">
        <is>
          <t>לבן</t>
        </is>
      </c>
      <c r="G11" s="6" t="n"/>
      <c r="H11" s="6" t="n"/>
      <c r="I11" s="6" t="n"/>
      <c r="J11" s="6" t="n"/>
      <c r="K11" s="6" t="n"/>
      <c r="L11" s="6" t="n"/>
      <c r="M11" s="6" t="n"/>
    </row>
    <row r="12" ht="148.5" customHeight="1">
      <c r="A12" s="6" t="n">
        <v>3</v>
      </c>
      <c r="B12" s="6" t="n"/>
      <c r="C12" s="6" t="inlineStr">
        <is>
          <r>
            <t xml:space="preserve">גוף תאורה תלוי מדגם Lune Pendant
PENDANT
LED 9W 810LM </t>
          </r>
          <r>
            <rPr>
              <b val="1"/>
              <color rgb="00FFC000"/>
            </rPr>
            <t>2700K</t>
          </r>
          <r>
            <t xml:space="preserve"> CRI90 IP20
זוית פיזור 38 מעלות
דרייברים למיקום באזור פריק ונגיש
כולל רוזטה שקועה</t>
          </r>
        </is>
      </c>
      <c r="D12" s="6" t="inlineStr">
        <is>
          <t>OSKARI LUX</t>
        </is>
      </c>
      <c r="E12" s="6" t="inlineStr">
        <is>
          <t>230V
DIM DALI</t>
        </is>
      </c>
      <c r="F12" s="14" t="inlineStr"/>
      <c r="G12" s="6" t="n"/>
      <c r="H12" s="6" t="n"/>
      <c r="I12" s="6" t="n"/>
      <c r="J12" s="6" t="n"/>
      <c r="K12" s="6" t="n"/>
      <c r="L12" s="6" t="n"/>
      <c r="M12" s="6" t="n"/>
    </row>
    <row r="13" ht="123.75" customHeight="1">
      <c r="A13" s="6" t="n">
        <v>4</v>
      </c>
      <c r="B13" s="6" t="n"/>
      <c r="C13" s="6" t="inlineStr">
        <is>
          <t>ספוט למסילה מדגם Track One 15
מותאם למערכת Linea 48
LED 12W 1150LM 3000K CRI95
זוית פיזור 24 מעלות
דרייברים למיקום באזור פריק ונגיש</t>
        </is>
      </c>
      <c r="D13" s="6" t="inlineStr">
        <is>
          <t>CORVELLA</t>
        </is>
      </c>
      <c r="E13" s="6" t="inlineStr">
        <is>
          <t>48V
DIM DALI</t>
        </is>
      </c>
      <c r="F13" s="6" t="inlineStr">
        <is>
          <t>שחור</t>
        </is>
      </c>
      <c r="G13" s="6" t="n"/>
      <c r="H13" s="6" t="n"/>
      <c r="I13" s="6" t="n"/>
      <c r="J13" s="6" t="n"/>
      <c r="K13" s="6" t="n"/>
      <c r="L13" s="6" t="n"/>
      <c r="M13" s="6" t="n"/>
    </row>
    <row r="14" ht="20" customHeight="1">
      <c r="A14" s="7" t="inlineStr">
        <is>
          <t>מנורות הזנה מהקיר</t>
        </is>
      </c>
      <c r="B14" s="12" t="n"/>
      <c r="C14" s="12" t="n"/>
      <c r="D14" s="12" t="n"/>
      <c r="E14" s="13" t="n"/>
      <c r="F14" s="8" t="n"/>
      <c r="G14" s="8" t="n"/>
      <c r="H14" s="8" t="n"/>
      <c r="I14" s="8" t="n"/>
      <c r="J14" s="8" t="n"/>
      <c r="K14" s="8" t="n"/>
      <c r="L14" s="8" t="n"/>
      <c r="M14" s="8" t="n"/>
    </row>
    <row r="15" ht="74.25" customHeight="1">
      <c r="A15" s="6" t="n">
        <v>1</v>
      </c>
      <c r="B15" s="6" t="n"/>
      <c r="C15" s="6" t="inlineStr">
        <is>
          <t>גוף תאורה צמוד קיר מדגם Fjell Up/Down
LED 2X6W 1000LM 3000K CRI90 IP65
דרייברים למיקום באזור פריק ונגיש</t>
        </is>
      </c>
      <c r="D15" s="6" t="inlineStr">
        <is>
          <t>HALVARD LUMEN</t>
        </is>
      </c>
      <c r="E15" s="6" t="inlineStr">
        <is>
          <t>230V
NON DIM</t>
        </is>
      </c>
      <c r="F15" s="6" t="inlineStr">
        <is>
          <t>אפור כהה</t>
        </is>
      </c>
      <c r="G15" s="6" t="n"/>
      <c r="H15" s="6" t="n"/>
      <c r="I15" s="6" t="n"/>
      <c r="J15" s="6" t="n"/>
      <c r="K15" s="6" t="n"/>
      <c r="L15" s="6" t="n"/>
      <c r="M15" s="6" t="n"/>
    </row>
    <row r="16" ht="99" customHeight="1">
      <c r="A16" s="6" t="n">
        <v>2</v>
      </c>
      <c r="B16" s="6" t="n"/>
      <c r="C16" s="6" t="inlineStr">
        <is>
          <t>גוף תאורה לינארי לקיר מדגם Riva 120
LED 14W 1250LM 3000K CRI90 IP65
זוית פיזור 10X60 מעלות
דרייברים למיקום באזור פריק ונגיש</t>
        </is>
      </c>
      <c r="D16" s="6" t="inlineStr">
        <is>
          <t>TOBEK</t>
        </is>
      </c>
      <c r="E16" s="6" t="inlineStr">
        <is>
          <t>24V
DIM DALI</t>
        </is>
      </c>
      <c r="F16" s="14" t="inlineStr"/>
      <c r="G16" s="6" t="n"/>
      <c r="H16" s="6" t="n"/>
      <c r="I16" s="6" t="n"/>
      <c r="J16" s="6" t="n"/>
      <c r="K16" s="6" t="n"/>
      <c r="L16" s="6" t="n"/>
      <c r="M16" s="6" t="n"/>
    </row>
    <row r="17" ht="20" customHeight="1">
      <c r="A17" s="9" t="inlineStr">
        <is>
          <t>מנורות הזנה מהרצפה</t>
        </is>
      </c>
      <c r="B17" s="12" t="n"/>
      <c r="C17" s="12" t="n"/>
      <c r="D17" s="12" t="n"/>
      <c r="E17" s="13" t="n"/>
      <c r="F17" s="10" t="n"/>
      <c r="G17" s="10" t="n"/>
      <c r="H17" s="10" t="n"/>
      <c r="I17" s="10" t="n"/>
      <c r="J17" s="10" t="n"/>
      <c r="K17" s="10" t="n"/>
      <c r="L17" s="10" t="n"/>
      <c r="M17" s="10" t="n"/>
    </row>
    <row r="18" ht="99" customHeight="1">
      <c r="A18" s="6" t="n">
        <v>1</v>
      </c>
      <c r="B18" s="6" t="n"/>
      <c r="C18" s="6" t="inlineStr">
        <is>
          <t>שקוע רצפה מדגם Terra 60
LED 5W 410LM 3000K CRI90 IP67
זוית פיזור 40 מעלות
דרייברים למיקום באזור פריק ונגיש</t>
        </is>
      </c>
      <c r="D18" s="6" t="inlineStr">
        <is>
          <t>HALVARD LUMEN</t>
        </is>
      </c>
      <c r="E18" s="6" t="inlineStr">
        <is>
          <t>24V
DIM DALI</t>
        </is>
      </c>
      <c r="F18" s="6" t="inlineStr">
        <is>
          <t>נירוסטה</t>
        </is>
      </c>
      <c r="G18" s="6" t="n"/>
      <c r="H18" s="6" t="n"/>
      <c r="I18" s="6" t="n"/>
      <c r="J18" s="6" t="n"/>
      <c r="K18" s="6" t="n"/>
      <c r="L18" s="6" t="n"/>
      <c r="M18" s="6" t="n"/>
    </row>
    <row r="19" ht="30.75" customHeight="1">
      <c r="A19" s="6" t="n"/>
      <c r="B19" s="6" t="n"/>
      <c r="C19" s="6" t="n"/>
      <c r="D19" s="6" t="n"/>
      <c r="E19" s="6" t="n"/>
      <c r="F19" s="6" t="n"/>
      <c r="G19" s="6" t="n"/>
      <c r="H19" s="6" t="n"/>
      <c r="I19" s="6" t="n"/>
      <c r="J19" s="6" t="n"/>
      <c r="K19" s="6" t="n"/>
      <c r="L19" s="6" t="n"/>
      <c r="M19" s="6" t="n"/>
    </row>
    <row r="20">
      <c r="C20" s="11" t="inlineStr">
        <is>
          <t>סה"כ כולל נורות וציוד:</t>
        </is>
      </c>
      <c r="M20" s="11">
        <f>SUM(M10:M19)</f>
        <v/>
      </c>
    </row>
  </sheetData>
  <mergeCells count="4">
    <mergeCell ref="C5:D6"/>
    <mergeCell ref="A17:E17"/>
    <mergeCell ref="A9:E9"/>
    <mergeCell ref="A14:E14"/>
  </mergeCells>
  <pageMargins left="0.75" right="0.75" top="1" bottom="1" header="0.5" footer="0.5"/>
  <pageSetup orientation="landscape" paperSize="8" fitToHeight="0" fitToWidth="1"/>
  <drawing xmlns:r="http://schemas.openxmlformats.org/officeDocument/2006/relationships" r:id="rId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2026-10-20T21:53:05Z</dcterms:created>
  <dcterms:modified xmlns:dcterms="http://purl.org/dc/terms/" xmlns:xsi="http://www.w3.org/2001/XMLSchema-instance" xsi:type="dcterms:W3CDTF">2026-10-20T21:53:16Z</dcterms:modified>
</cp:coreProperties>
</file>